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і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5" customWidth="1" min="4" max="4"/>
    <col width="7" customWidth="1" min="5" max="5"/>
    <col width="10" customWidth="1" min="6" max="6"/>
    <col width="11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№</t>
        </is>
      </c>
      <c r="B1" s="1" t="inlineStr">
        <is>
          <t>Авто</t>
        </is>
      </c>
      <c r="C1" s="1" t="inlineStr">
        <is>
          <t>Найменування</t>
        </is>
      </c>
      <c r="D1" s="1" t="inlineStr">
        <is>
          <t>Артикул</t>
        </is>
      </c>
      <c r="E1" s="1" t="inlineStr">
        <is>
          <t>К-сть</t>
        </is>
      </c>
      <c r="F1" s="1" t="inlineStr">
        <is>
          <t>Ціна, грн</t>
        </is>
      </c>
      <c r="G1" s="1" t="inlineStr">
        <is>
          <t>Сума, грн</t>
        </is>
      </c>
      <c r="H1" s="1" t="inlineStr">
        <is>
          <t>Виробник</t>
        </is>
      </c>
      <c r="I1" s="1" t="inlineStr">
        <is>
          <t>Країна</t>
        </is>
      </c>
      <c r="J1" s="1" t="inlineStr">
        <is>
          <t>УКТЗЕД</t>
        </is>
      </c>
    </row>
    <row r="2">
      <c r="A2" s="2" t="n">
        <v>1</v>
      </c>
      <c r="B2" s="2" t="inlineStr">
        <is>
          <t>L200 70-91</t>
        </is>
      </c>
      <c r="C2" s="2" t="inlineStr">
        <is>
          <t>Фільтр повітря</t>
        </is>
      </c>
      <c r="D2" s="2" t="inlineStr">
        <is>
          <t>C24011</t>
        </is>
      </c>
      <c r="E2" s="2" t="n">
        <v>1</v>
      </c>
      <c r="F2" s="3" t="n">
        <v>766</v>
      </c>
      <c r="G2" s="3">
        <f>E2*F2</f>
        <v/>
      </c>
      <c r="H2" s="2" t="inlineStr">
        <is>
          <t>MANN</t>
        </is>
      </c>
      <c r="I2" s="2" t="inlineStr"/>
      <c r="J2" s="2" t="inlineStr">
        <is>
          <t>8421310000</t>
        </is>
      </c>
    </row>
    <row r="3">
      <c r="A3" s="2" t="n">
        <v>2</v>
      </c>
      <c r="B3" s="2" t="inlineStr">
        <is>
          <t>L200 70-91</t>
        </is>
      </c>
      <c r="C3" s="2" t="inlineStr">
        <is>
          <t>Фільтр палива</t>
        </is>
      </c>
      <c r="D3" s="2" t="inlineStr">
        <is>
          <t>KX268D</t>
        </is>
      </c>
      <c r="E3" s="2" t="n">
        <v>1</v>
      </c>
      <c r="F3" s="3" t="n">
        <v>477</v>
      </c>
      <c r="G3" s="3">
        <f>E3*F3</f>
        <v/>
      </c>
      <c r="H3" s="2" t="inlineStr">
        <is>
          <t>MAHLE</t>
        </is>
      </c>
      <c r="I3" s="2" t="inlineStr"/>
      <c r="J3" s="2" t="inlineStr">
        <is>
          <t>8421230090</t>
        </is>
      </c>
    </row>
    <row r="4">
      <c r="A4" s="2" t="n">
        <v>3</v>
      </c>
      <c r="B4" s="2" t="inlineStr">
        <is>
          <t>L200 46-61</t>
        </is>
      </c>
      <c r="C4" s="2" t="inlineStr">
        <is>
          <t>Фільтр повітря</t>
        </is>
      </c>
      <c r="D4" s="2" t="inlineStr">
        <is>
          <t>1987429186</t>
        </is>
      </c>
      <c r="E4" s="2" t="n">
        <v>1</v>
      </c>
      <c r="F4" s="3" t="n">
        <v>757</v>
      </c>
      <c r="G4" s="3">
        <f>E4*F4</f>
        <v/>
      </c>
      <c r="H4" s="2" t="inlineStr">
        <is>
          <t>BOSCH</t>
        </is>
      </c>
      <c r="I4" s="2" t="inlineStr"/>
      <c r="J4" s="2" t="inlineStr">
        <is>
          <t>8421310000</t>
        </is>
      </c>
    </row>
    <row r="5">
      <c r="A5" s="2" t="n">
        <v>4</v>
      </c>
      <c r="B5" s="2" t="inlineStr">
        <is>
          <t>L200 46-61</t>
        </is>
      </c>
      <c r="C5" s="2" t="inlineStr">
        <is>
          <t>Фільтр палива</t>
        </is>
      </c>
      <c r="D5" s="2" t="inlineStr">
        <is>
          <t>KC46</t>
        </is>
      </c>
      <c r="E5" s="2" t="n">
        <v>1</v>
      </c>
      <c r="F5" s="3" t="n">
        <v>651</v>
      </c>
      <c r="G5" s="3">
        <f>E5*F5</f>
        <v/>
      </c>
      <c r="H5" s="2" t="inlineStr">
        <is>
          <t>MAHLE</t>
        </is>
      </c>
      <c r="I5" s="2" t="inlineStr"/>
      <c r="J5" s="2" t="inlineStr">
        <is>
          <t>8421230090</t>
        </is>
      </c>
    </row>
    <row r="6">
      <c r="A6" s="2" t="n">
        <v>5</v>
      </c>
      <c r="B6" s="2" t="inlineStr">
        <is>
          <t>L200 46-61</t>
        </is>
      </c>
      <c r="C6" s="2" t="inlineStr">
        <is>
          <t>Фільтр оливи</t>
        </is>
      </c>
      <c r="D6" s="2" t="inlineStr">
        <is>
          <t>OC540</t>
        </is>
      </c>
      <c r="E6" s="2" t="n">
        <v>1</v>
      </c>
      <c r="F6" s="3" t="n">
        <v>629</v>
      </c>
      <c r="G6" s="3">
        <f>E6*F6</f>
        <v/>
      </c>
      <c r="H6" s="2" t="inlineStr">
        <is>
          <t>MAHLE</t>
        </is>
      </c>
      <c r="I6" s="2" t="inlineStr"/>
      <c r="J6" s="2" t="inlineStr">
        <is>
          <t>8421230090</t>
        </is>
      </c>
    </row>
    <row r="7">
      <c r="A7" s="2" t="n">
        <v>6</v>
      </c>
      <c r="B7" s="2" t="inlineStr">
        <is>
          <t>Паджеро 51-44</t>
        </is>
      </c>
      <c r="C7" s="2" t="inlineStr">
        <is>
          <t>Фільтр повітря</t>
        </is>
      </c>
      <c r="D7" s="2" t="inlineStr">
        <is>
          <t>2005508</t>
        </is>
      </c>
      <c r="E7" s="2" t="n">
        <v>1</v>
      </c>
      <c r="F7" s="3" t="n">
        <v>426</v>
      </c>
      <c r="G7" s="3">
        <f>E7*F7</f>
        <v/>
      </c>
      <c r="H7" s="2" t="inlineStr"/>
      <c r="I7" s="2" t="inlineStr"/>
      <c r="J7" s="2" t="inlineStr">
        <is>
          <t>8421310000</t>
        </is>
      </c>
    </row>
    <row r="8">
      <c r="A8" s="2" t="n">
        <v>7</v>
      </c>
      <c r="B8" s="2" t="inlineStr">
        <is>
          <t>Паджеро 51-44</t>
        </is>
      </c>
      <c r="C8" s="2" t="inlineStr">
        <is>
          <t>Фільтр палива</t>
        </is>
      </c>
      <c r="D8" s="2" t="inlineStr">
        <is>
          <t>F026402086</t>
        </is>
      </c>
      <c r="E8" s="2" t="n">
        <v>1</v>
      </c>
      <c r="F8" s="3" t="n">
        <v>1041</v>
      </c>
      <c r="G8" s="3">
        <f>E8*F8</f>
        <v/>
      </c>
      <c r="H8" s="2" t="inlineStr">
        <is>
          <t>BOSCH</t>
        </is>
      </c>
      <c r="I8" s="2" t="inlineStr"/>
      <c r="J8" s="2" t="inlineStr">
        <is>
          <t>8421230090</t>
        </is>
      </c>
    </row>
    <row r="9">
      <c r="A9" s="2" t="n">
        <v>8</v>
      </c>
      <c r="B9" s="2" t="inlineStr">
        <is>
          <t>Паджеро 51-44</t>
        </is>
      </c>
      <c r="C9" s="2" t="inlineStr">
        <is>
          <t>Фільтр оливи</t>
        </is>
      </c>
      <c r="D9" s="2" t="inlineStr">
        <is>
          <t>OC297</t>
        </is>
      </c>
      <c r="E9" s="2" t="n">
        <v>1</v>
      </c>
      <c r="F9" s="3" t="n">
        <v>855</v>
      </c>
      <c r="G9" s="3">
        <f>E9*F9</f>
        <v/>
      </c>
      <c r="H9" s="2" t="inlineStr">
        <is>
          <t>MAHLE</t>
        </is>
      </c>
      <c r="I9" s="2" t="inlineStr"/>
      <c r="J9" s="2" t="inlineStr">
        <is>
          <t>8421230090</t>
        </is>
      </c>
    </row>
    <row r="10">
      <c r="A10" s="2" t="n">
        <v>9</v>
      </c>
      <c r="B10" s="2" t="inlineStr">
        <is>
          <t>L200 46-17</t>
        </is>
      </c>
      <c r="C10" s="2" t="inlineStr">
        <is>
          <t>Кульова опора</t>
        </is>
      </c>
      <c r="D10" s="2" t="inlineStr">
        <is>
          <t>8250422607</t>
        </is>
      </c>
      <c r="E10" s="2" t="n">
        <v>2</v>
      </c>
      <c r="F10" s="3" t="n">
        <v>1145</v>
      </c>
      <c r="G10" s="3">
        <f>E10*F10</f>
        <v/>
      </c>
      <c r="H10" s="2" t="inlineStr"/>
      <c r="I10" s="2" t="inlineStr"/>
      <c r="J10" s="2" t="inlineStr">
        <is>
          <t>8708809900</t>
        </is>
      </c>
    </row>
    <row r="11">
      <c r="A11" s="2" t="n">
        <v>10</v>
      </c>
      <c r="B11" s="2" t="inlineStr">
        <is>
          <t>L200 46-17</t>
        </is>
      </c>
      <c r="C11" s="2" t="inlineStr">
        <is>
          <t>Сайлентблок важеля</t>
        </is>
      </c>
      <c r="D11" s="2" t="inlineStr">
        <is>
          <t>872607</t>
        </is>
      </c>
      <c r="E11" s="2" t="n">
        <v>4</v>
      </c>
      <c r="F11" s="3" t="n">
        <v>691</v>
      </c>
      <c r="G11" s="3">
        <f>E11*F11</f>
        <v/>
      </c>
      <c r="H11" s="2" t="inlineStr"/>
      <c r="I11" s="2" t="inlineStr"/>
      <c r="J11" s="2" t="inlineStr">
        <is>
          <t>4016995200</t>
        </is>
      </c>
    </row>
    <row r="12">
      <c r="A12" s="2" t="n">
        <v>11</v>
      </c>
      <c r="B12" s="2" t="inlineStr">
        <is>
          <t>L200 46-17</t>
        </is>
      </c>
      <c r="C12" s="2" t="inlineStr">
        <is>
          <t>Стійка стабілізатора</t>
        </is>
      </c>
      <c r="D12" s="2" t="inlineStr">
        <is>
          <t>VKDS845503</t>
        </is>
      </c>
      <c r="E12" s="2" t="n">
        <v>1</v>
      </c>
      <c r="F12" s="3" t="n">
        <v>532</v>
      </c>
      <c r="G12" s="3">
        <f>E12*F12</f>
        <v/>
      </c>
      <c r="H12" s="2" t="inlineStr">
        <is>
          <t>SKF</t>
        </is>
      </c>
      <c r="I12" s="2" t="inlineStr"/>
      <c r="J12" s="2" t="inlineStr">
        <is>
          <t>8708809900</t>
        </is>
      </c>
    </row>
    <row r="13">
      <c r="A13" s="2" t="n">
        <v>12</v>
      </c>
      <c r="B13" s="2" t="inlineStr">
        <is>
          <t>L200 46-17</t>
        </is>
      </c>
      <c r="C13" s="2" t="inlineStr">
        <is>
          <t>Стійка стабілізатора</t>
        </is>
      </c>
      <c r="D13" s="2" t="inlineStr">
        <is>
          <t>VKDS845502</t>
        </is>
      </c>
      <c r="E13" s="2" t="n">
        <v>1</v>
      </c>
      <c r="F13" s="3" t="n">
        <v>531</v>
      </c>
      <c r="G13" s="3">
        <f>E13*F13</f>
        <v/>
      </c>
      <c r="H13" s="2" t="inlineStr">
        <is>
          <t>SKF</t>
        </is>
      </c>
      <c r="I13" s="2" t="inlineStr"/>
      <c r="J13" s="2" t="inlineStr">
        <is>
          <t>8708809900</t>
        </is>
      </c>
    </row>
    <row r="14">
      <c r="A14" s="2" t="n">
        <v>13</v>
      </c>
      <c r="B14" s="2" t="inlineStr">
        <is>
          <t>L200 46-17</t>
        </is>
      </c>
      <c r="C14" s="2" t="inlineStr">
        <is>
          <t>Втулка стабілізатора</t>
        </is>
      </c>
      <c r="D14" s="2" t="inlineStr">
        <is>
          <t>872801</t>
        </is>
      </c>
      <c r="E14" s="2" t="n">
        <v>2</v>
      </c>
      <c r="F14" s="3" t="n">
        <v>163</v>
      </c>
      <c r="G14" s="3">
        <f>E14*F14</f>
        <v/>
      </c>
      <c r="H14" s="2" t="inlineStr"/>
      <c r="I14" s="2" t="inlineStr"/>
      <c r="J14" s="2" t="inlineStr">
        <is>
          <t>4016995200</t>
        </is>
      </c>
    </row>
    <row r="15">
      <c r="A15" s="2" t="n">
        <v>14</v>
      </c>
      <c r="B15" s="2" t="inlineStr">
        <is>
          <t>L200 51-23</t>
        </is>
      </c>
      <c r="C15" s="2" t="inlineStr">
        <is>
          <t>Кульова опора</t>
        </is>
      </c>
      <c r="D15" s="2" t="inlineStr">
        <is>
          <t>8250422607</t>
        </is>
      </c>
      <c r="E15" s="2" t="n">
        <v>2</v>
      </c>
      <c r="F15" s="3" t="n">
        <v>1145</v>
      </c>
      <c r="G15" s="3">
        <f>E15*F15</f>
        <v/>
      </c>
      <c r="H15" s="2" t="inlineStr"/>
      <c r="I15" s="2" t="inlineStr"/>
      <c r="J15" s="2" t="inlineStr">
        <is>
          <t>8708809900</t>
        </is>
      </c>
    </row>
    <row r="16">
      <c r="A16" s="2" t="n">
        <v>15</v>
      </c>
      <c r="B16" s="2" t="inlineStr">
        <is>
          <t>L200 51-23</t>
        </is>
      </c>
      <c r="C16" s="2" t="inlineStr">
        <is>
          <t>Піввісь</t>
        </is>
      </c>
      <c r="D16" s="2" t="inlineStr">
        <is>
          <t>DS6101</t>
        </is>
      </c>
      <c r="E16" s="2" t="n">
        <v>1</v>
      </c>
      <c r="F16" s="3" t="n">
        <v>3288</v>
      </c>
      <c r="G16" s="3">
        <f>E16*F16</f>
        <v/>
      </c>
      <c r="H16" s="2" t="inlineStr"/>
      <c r="I16" s="2" t="inlineStr"/>
      <c r="J16" s="2" t="inlineStr">
        <is>
          <t>8708509900</t>
        </is>
      </c>
    </row>
    <row r="17">
      <c r="A17" s="2" t="n">
        <v>16</v>
      </c>
      <c r="B17" s="2" t="inlineStr">
        <is>
          <t>L200 51-23</t>
        </is>
      </c>
      <c r="C17" s="2" t="inlineStr">
        <is>
          <t>Піввісь</t>
        </is>
      </c>
      <c r="D17" s="2" t="inlineStr">
        <is>
          <t>DS6101</t>
        </is>
      </c>
      <c r="E17" s="2" t="n">
        <v>1</v>
      </c>
      <c r="F17" s="3" t="n">
        <v>4124</v>
      </c>
      <c r="G17" s="3">
        <f>E17*F17</f>
        <v/>
      </c>
      <c r="H17" s="2" t="inlineStr"/>
      <c r="I17" s="2" t="inlineStr"/>
      <c r="J17" s="2" t="inlineStr">
        <is>
          <t>8708509900</t>
        </is>
      </c>
    </row>
    <row r="18">
      <c r="A18" s="2" t="n">
        <v>17</v>
      </c>
      <c r="B18" s="2" t="inlineStr">
        <is>
          <t>L200 51-23</t>
        </is>
      </c>
      <c r="C18" s="2" t="inlineStr">
        <is>
          <t>Стійка стабілізатора</t>
        </is>
      </c>
      <c r="D18" s="2" t="inlineStr">
        <is>
          <t>VKDS845502</t>
        </is>
      </c>
      <c r="E18" s="2" t="n">
        <v>1</v>
      </c>
      <c r="F18" s="3" t="n">
        <v>532</v>
      </c>
      <c r="G18" s="3">
        <f>E18*F18</f>
        <v/>
      </c>
      <c r="H18" s="2" t="inlineStr">
        <is>
          <t>SKF</t>
        </is>
      </c>
      <c r="I18" s="2" t="inlineStr"/>
      <c r="J18" s="2" t="inlineStr">
        <is>
          <t>8708809900</t>
        </is>
      </c>
    </row>
    <row r="19">
      <c r="A19" s="2" t="n">
        <v>18</v>
      </c>
      <c r="B19" s="2" t="inlineStr">
        <is>
          <t>L200 51-23</t>
        </is>
      </c>
      <c r="C19" s="2" t="inlineStr">
        <is>
          <t>Стійка стабілізатора</t>
        </is>
      </c>
      <c r="D19" s="2" t="inlineStr">
        <is>
          <t>VKDS845503</t>
        </is>
      </c>
      <c r="E19" s="2" t="n">
        <v>1</v>
      </c>
      <c r="F19" s="3" t="n">
        <v>531</v>
      </c>
      <c r="G19" s="3">
        <f>E19*F19</f>
        <v/>
      </c>
      <c r="H19" s="2" t="inlineStr">
        <is>
          <t>SKF</t>
        </is>
      </c>
      <c r="I19" s="2" t="inlineStr"/>
      <c r="J19" s="2" t="inlineStr">
        <is>
          <t>8708809900</t>
        </is>
      </c>
    </row>
    <row r="20">
      <c r="A20" s="2" t="n">
        <v>19</v>
      </c>
      <c r="B20" s="2" t="inlineStr">
        <is>
          <t>L200 51-23</t>
        </is>
      </c>
      <c r="C20" s="2" t="inlineStr">
        <is>
          <t>Втулка стабілізатора</t>
        </is>
      </c>
      <c r="D20" s="2" t="inlineStr">
        <is>
          <t>872801</t>
        </is>
      </c>
      <c r="E20" s="2" t="n">
        <v>2</v>
      </c>
      <c r="F20" s="3" t="n">
        <v>163</v>
      </c>
      <c r="G20" s="3">
        <f>E20*F20</f>
        <v/>
      </c>
      <c r="H20" s="2" t="inlineStr"/>
      <c r="I20" s="2" t="inlineStr"/>
      <c r="J20" s="2" t="inlineStr">
        <is>
          <t>4016995200</t>
        </is>
      </c>
    </row>
    <row r="21">
      <c r="A21" s="2" t="n">
        <v>20</v>
      </c>
      <c r="B21" s="2" t="inlineStr">
        <is>
          <t>L200 51-23</t>
        </is>
      </c>
      <c r="C21" s="2" t="inlineStr">
        <is>
          <t>Амортизатор передній</t>
        </is>
      </c>
      <c r="D21" s="2" t="inlineStr">
        <is>
          <t>841006</t>
        </is>
      </c>
      <c r="E21" s="2" t="n">
        <v>2</v>
      </c>
      <c r="F21" s="3" t="n">
        <v>7261</v>
      </c>
      <c r="G21" s="3">
        <f>E21*F21</f>
        <v/>
      </c>
      <c r="H21" s="2" t="inlineStr"/>
      <c r="I21" s="2" t="inlineStr"/>
      <c r="J21" s="2" t="inlineStr">
        <is>
          <t>8708803500</t>
        </is>
      </c>
    </row>
    <row r="22">
      <c r="A22" s="2" t="n">
        <v>21</v>
      </c>
      <c r="B22" s="2" t="inlineStr">
        <is>
          <t>L200 51-23</t>
        </is>
      </c>
      <c r="C22" s="2" t="inlineStr">
        <is>
          <t>Амортизатор задній</t>
        </is>
      </c>
      <c r="D22" s="2" t="inlineStr">
        <is>
          <t>553189</t>
        </is>
      </c>
      <c r="E22" s="2" t="n">
        <v>2</v>
      </c>
      <c r="F22" s="3" t="n">
        <v>2610</v>
      </c>
      <c r="G22" s="3">
        <f>E22*F22</f>
        <v/>
      </c>
      <c r="H22" s="2" t="inlineStr"/>
      <c r="I22" s="2" t="inlineStr"/>
      <c r="J22" s="2" t="inlineStr">
        <is>
          <t>8708803500</t>
        </is>
      </c>
    </row>
    <row r="23">
      <c r="A23" s="2" t="n">
        <v>22</v>
      </c>
      <c r="B23" s="2" t="inlineStr">
        <is>
          <t>L200 46-74</t>
        </is>
      </c>
      <c r="C23" s="2" t="inlineStr">
        <is>
          <t>Втулка стабілізатора</t>
        </is>
      </c>
      <c r="D23" s="2" t="inlineStr">
        <is>
          <t>872801</t>
        </is>
      </c>
      <c r="E23" s="2" t="n">
        <v>2</v>
      </c>
      <c r="F23" s="3" t="n">
        <v>163</v>
      </c>
      <c r="G23" s="3">
        <f>E23*F23</f>
        <v/>
      </c>
      <c r="H23" s="2" t="inlineStr"/>
      <c r="I23" s="2" t="inlineStr"/>
      <c r="J23" s="2" t="inlineStr">
        <is>
          <t>4016995200</t>
        </is>
      </c>
    </row>
    <row r="24">
      <c r="A24" s="2" t="n">
        <v>23</v>
      </c>
      <c r="B24" s="2" t="inlineStr">
        <is>
          <t>L200 46-74</t>
        </is>
      </c>
      <c r="C24" s="2" t="inlineStr">
        <is>
          <t>Тяга кермова</t>
        </is>
      </c>
      <c r="D24" s="2" t="inlineStr">
        <is>
          <t>SR7950</t>
        </is>
      </c>
      <c r="E24" s="2" t="n">
        <v>2</v>
      </c>
      <c r="F24" s="3" t="n">
        <v>662</v>
      </c>
      <c r="G24" s="3">
        <f>E24*F24</f>
        <v/>
      </c>
      <c r="H24" s="2" t="inlineStr"/>
      <c r="I24" s="2" t="inlineStr"/>
      <c r="J24" s="2" t="inlineStr">
        <is>
          <t>8708949000</t>
        </is>
      </c>
    </row>
    <row r="25">
      <c r="A25" s="2" t="n">
        <v>24</v>
      </c>
      <c r="B25" s="2" t="inlineStr">
        <is>
          <t>L200 46-74</t>
        </is>
      </c>
      <c r="C25" s="2" t="inlineStr">
        <is>
          <t>Кульова опора</t>
        </is>
      </c>
      <c r="D25" s="2" t="inlineStr">
        <is>
          <t>8250422607</t>
        </is>
      </c>
      <c r="E25" s="2" t="n">
        <v>2</v>
      </c>
      <c r="F25" s="3" t="n">
        <v>1145</v>
      </c>
      <c r="G25" s="3">
        <f>E25*F25</f>
        <v/>
      </c>
      <c r="H25" s="2" t="inlineStr"/>
      <c r="I25" s="2" t="inlineStr"/>
      <c r="J25" s="2" t="inlineStr">
        <is>
          <t>8708809900</t>
        </is>
      </c>
    </row>
    <row r="26">
      <c r="A26" s="2" t="n">
        <v>25</v>
      </c>
      <c r="B26" s="2" t="inlineStr">
        <is>
          <t>L200 46-74</t>
        </is>
      </c>
      <c r="C26" s="2" t="inlineStr">
        <is>
          <t>Кульова опора</t>
        </is>
      </c>
      <c r="D26" s="2" t="inlineStr">
        <is>
          <t>VKDS815501</t>
        </is>
      </c>
      <c r="E26" s="2" t="n">
        <v>2</v>
      </c>
      <c r="F26" s="3" t="n">
        <v>582</v>
      </c>
      <c r="G26" s="3">
        <f>E26*F26</f>
        <v/>
      </c>
      <c r="H26" s="2" t="inlineStr">
        <is>
          <t>SKF</t>
        </is>
      </c>
      <c r="I26" s="2" t="inlineStr"/>
      <c r="J26" s="2" t="inlineStr">
        <is>
          <t>8708809900</t>
        </is>
      </c>
    </row>
    <row r="27">
      <c r="A27" s="2" t="n">
        <v>26</v>
      </c>
      <c r="B27" s="2" t="inlineStr">
        <is>
          <t>VW 47-07</t>
        </is>
      </c>
      <c r="C27" s="2" t="inlineStr">
        <is>
          <t>Фільтр оливи</t>
        </is>
      </c>
      <c r="D27" s="2" t="inlineStr">
        <is>
          <t>0451203087</t>
        </is>
      </c>
      <c r="E27" s="2" t="n">
        <v>1</v>
      </c>
      <c r="F27" s="3" t="n">
        <v>431</v>
      </c>
      <c r="G27" s="3">
        <f>E27*F27</f>
        <v/>
      </c>
      <c r="H27" s="2" t="inlineStr">
        <is>
          <t>BOSCH</t>
        </is>
      </c>
      <c r="I27" s="2" t="inlineStr"/>
      <c r="J27" s="2" t="inlineStr">
        <is>
          <t>8421230090</t>
        </is>
      </c>
    </row>
    <row r="28">
      <c r="A28" s="2" t="n">
        <v>27</v>
      </c>
      <c r="B28" s="2" t="inlineStr">
        <is>
          <t>VW 47-07</t>
        </is>
      </c>
      <c r="C28" s="2" t="inlineStr">
        <is>
          <t>Вимикач ліхтаря</t>
        </is>
      </c>
      <c r="D28" s="2" t="inlineStr">
        <is>
          <t>A35519</t>
        </is>
      </c>
      <c r="E28" s="2" t="n">
        <v>1</v>
      </c>
      <c r="F28" s="3" t="n">
        <v>183</v>
      </c>
      <c r="G28" s="3">
        <f>E28*F28</f>
        <v/>
      </c>
      <c r="H28" s="2" t="inlineStr"/>
      <c r="I28" s="2" t="inlineStr"/>
      <c r="J28" s="2" t="inlineStr">
        <is>
          <t>8536508000</t>
        </is>
      </c>
    </row>
    <row r="29">
      <c r="A29" s="2" t="n">
        <v>28</v>
      </c>
      <c r="B29" s="2" t="inlineStr">
        <is>
          <t>VW 47-07</t>
        </is>
      </c>
      <c r="C29" s="2" t="inlineStr">
        <is>
          <t>Важіль склоочисника</t>
        </is>
      </c>
      <c r="D29" s="2" t="inlineStr">
        <is>
          <t>2190453</t>
        </is>
      </c>
      <c r="E29" s="2" t="n">
        <v>1</v>
      </c>
      <c r="F29" s="3" t="n">
        <v>1577</v>
      </c>
      <c r="G29" s="3">
        <f>E29*F29</f>
        <v/>
      </c>
      <c r="H29" s="2" t="inlineStr"/>
      <c r="I29" s="2" t="inlineStr"/>
      <c r="J29" s="2" t="inlineStr">
        <is>
          <t>8512909000</t>
        </is>
      </c>
    </row>
    <row r="30">
      <c r="A30" s="2" t="n">
        <v>29</v>
      </c>
      <c r="B30" s="2" t="inlineStr">
        <is>
          <t>VW 47-07</t>
        </is>
      </c>
      <c r="C30" s="2" t="inlineStr">
        <is>
          <t>Важіль склоочисника</t>
        </is>
      </c>
      <c r="D30" s="2" t="inlineStr">
        <is>
          <t>2190454</t>
        </is>
      </c>
      <c r="E30" s="2" t="n">
        <v>1</v>
      </c>
      <c r="F30" s="3" t="n">
        <v>1589</v>
      </c>
      <c r="G30" s="3">
        <f>E30*F30</f>
        <v/>
      </c>
      <c r="H30" s="2" t="inlineStr"/>
      <c r="I30" s="2" t="inlineStr"/>
      <c r="J30" s="2" t="inlineStr">
        <is>
          <t>8512909000</t>
        </is>
      </c>
    </row>
    <row r="31">
      <c r="A31" s="2" t="n">
        <v>30</v>
      </c>
      <c r="B31" s="2" t="inlineStr">
        <is>
          <t>VW 47-07</t>
        </is>
      </c>
      <c r="C31" s="2" t="inlineStr">
        <is>
          <t>Кільце гумове ущільнювальне</t>
        </is>
      </c>
      <c r="D31" s="2" t="inlineStr">
        <is>
          <t>163480</t>
        </is>
      </c>
      <c r="E31" s="2" t="n">
        <v>25</v>
      </c>
      <c r="F31" s="3" t="n">
        <v>60</v>
      </c>
      <c r="G31" s="3">
        <f>E31*F31</f>
        <v/>
      </c>
      <c r="H31" s="2" t="inlineStr"/>
      <c r="I31" s="2" t="inlineStr"/>
      <c r="J31" s="2" t="inlineStr">
        <is>
          <t>4016930000</t>
        </is>
      </c>
    </row>
    <row r="32">
      <c r="A32" s="2" t="n">
        <v>31</v>
      </c>
      <c r="B32" s="2" t="inlineStr">
        <is>
          <t>L200 47-32</t>
        </is>
      </c>
      <c r="C32" s="2" t="inlineStr">
        <is>
          <t>Опора двигуна</t>
        </is>
      </c>
      <c r="D32" s="2" t="inlineStr">
        <is>
          <t>GOM501</t>
        </is>
      </c>
      <c r="E32" s="2" t="n">
        <v>2</v>
      </c>
      <c r="F32" s="3" t="n">
        <v>741</v>
      </c>
      <c r="G32" s="3">
        <f>E32*F32</f>
        <v/>
      </c>
      <c r="H32" s="2" t="inlineStr"/>
      <c r="I32" s="2" t="inlineStr"/>
      <c r="J32" s="2" t="inlineStr">
        <is>
          <t>4016995200</t>
        </is>
      </c>
    </row>
    <row r="33">
      <c r="A33" s="2" t="n">
        <v>32</v>
      </c>
      <c r="B33" s="2" t="inlineStr">
        <is>
          <t>L200 47-32</t>
        </is>
      </c>
      <c r="C33" s="2" t="inlineStr">
        <is>
          <t>Опора двигуна</t>
        </is>
      </c>
      <c r="D33" s="2" t="inlineStr">
        <is>
          <t>GOM504</t>
        </is>
      </c>
      <c r="E33" s="2" t="n">
        <v>1</v>
      </c>
      <c r="F33" s="3" t="n">
        <v>438</v>
      </c>
      <c r="G33" s="3">
        <f>E33*F33</f>
        <v/>
      </c>
      <c r="H33" s="2" t="inlineStr"/>
      <c r="I33" s="2" t="inlineStr"/>
      <c r="J33" s="2" t="inlineStr">
        <is>
          <t>4016995200</t>
        </is>
      </c>
    </row>
    <row r="34">
      <c r="A34" s="2" t="n">
        <v>33</v>
      </c>
      <c r="B34" s="2" t="inlineStr">
        <is>
          <t>L200 47-32</t>
        </is>
      </c>
      <c r="C34" s="2" t="inlineStr">
        <is>
          <t>Опора двигуна</t>
        </is>
      </c>
      <c r="D34" s="2" t="inlineStr">
        <is>
          <t>80102146</t>
        </is>
      </c>
      <c r="E34" s="2" t="n">
        <v>1</v>
      </c>
      <c r="F34" s="3" t="n">
        <v>4873</v>
      </c>
      <c r="G34" s="3">
        <f>E34*F34</f>
        <v/>
      </c>
      <c r="H34" s="2" t="inlineStr"/>
      <c r="I34" s="2" t="inlineStr"/>
      <c r="J34" s="2" t="inlineStr">
        <is>
          <t>4016995200</t>
        </is>
      </c>
    </row>
    <row r="35">
      <c r="A35" s="2" t="n">
        <v>34</v>
      </c>
      <c r="B35" s="2" t="inlineStr">
        <is>
          <t>Ford 63-43</t>
        </is>
      </c>
      <c r="C35" s="2" t="inlineStr">
        <is>
          <t>Гальмівний барабан</t>
        </is>
      </c>
      <c r="D35" s="2" t="inlineStr">
        <is>
          <t>2831-S</t>
        </is>
      </c>
      <c r="E35" s="2" t="n">
        <v>2</v>
      </c>
      <c r="F35" s="3" t="n">
        <v>1940</v>
      </c>
      <c r="G35" s="3">
        <f>E35*F35</f>
        <v/>
      </c>
      <c r="H35" s="2" t="inlineStr"/>
      <c r="I35" s="2" t="inlineStr"/>
      <c r="J35" s="2" t="inlineStr">
        <is>
          <t>8708309100</t>
        </is>
      </c>
    </row>
    <row r="36">
      <c r="A36" s="2" t="n">
        <v>35</v>
      </c>
      <c r="B36" s="2" t="inlineStr">
        <is>
          <t>Ford 63-43</t>
        </is>
      </c>
      <c r="C36" s="2" t="inlineStr">
        <is>
          <t>Монтажний комплект колодок</t>
        </is>
      </c>
      <c r="D36" s="2" t="inlineStr">
        <is>
          <t>310114</t>
        </is>
      </c>
      <c r="E36" s="2" t="n">
        <v>1</v>
      </c>
      <c r="F36" s="3" t="n">
        <v>296</v>
      </c>
      <c r="G36" s="3">
        <f>E36*F36</f>
        <v/>
      </c>
      <c r="H36" s="2" t="inlineStr"/>
      <c r="I36" s="2" t="inlineStr"/>
      <c r="J36" s="2" t="inlineStr">
        <is>
          <t>8708309100</t>
        </is>
      </c>
    </row>
    <row r="37">
      <c r="A37" s="2" t="n">
        <v>36</v>
      </c>
      <c r="B37" s="2" t="inlineStr">
        <is>
          <t>Ford 63-43</t>
        </is>
      </c>
      <c r="C37" s="2" t="inlineStr">
        <is>
          <t>Гальмівні колодки</t>
        </is>
      </c>
      <c r="D37" s="2" t="inlineStr">
        <is>
          <t>FSB4164</t>
        </is>
      </c>
      <c r="E37" s="2" t="n">
        <v>1</v>
      </c>
      <c r="F37" s="3" t="n">
        <v>2242</v>
      </c>
      <c r="G37" s="3">
        <f>E37*F37</f>
        <v/>
      </c>
      <c r="H37" s="2" t="inlineStr">
        <is>
          <t>FERODO</t>
        </is>
      </c>
      <c r="I37" s="2" t="inlineStr"/>
      <c r="J37" s="2" t="inlineStr">
        <is>
          <t>8708309100</t>
        </is>
      </c>
    </row>
    <row r="38">
      <c r="A38" s="2" t="n">
        <v>37</v>
      </c>
      <c r="B38" s="2" t="inlineStr">
        <is>
          <t>Сітроен 49-08</t>
        </is>
      </c>
      <c r="C38" s="2" t="inlineStr">
        <is>
          <t>Амортизатор передній</t>
        </is>
      </c>
      <c r="D38" s="2" t="inlineStr">
        <is>
          <t>3348139</t>
        </is>
      </c>
      <c r="E38" s="2" t="n">
        <v>2</v>
      </c>
      <c r="F38" s="3" t="n">
        <v>3771</v>
      </c>
      <c r="G38" s="3">
        <f>E38*F38</f>
        <v/>
      </c>
      <c r="H38" s="2" t="inlineStr">
        <is>
          <t>KAYABA</t>
        </is>
      </c>
      <c r="I38" s="2" t="inlineStr"/>
      <c r="J38" s="2" t="inlineStr">
        <is>
          <t>8708803500</t>
        </is>
      </c>
    </row>
    <row r="39">
      <c r="A39" s="2" t="n">
        <v>38</v>
      </c>
      <c r="B39" s="2" t="inlineStr">
        <is>
          <t>Сітроен 49-08</t>
        </is>
      </c>
      <c r="C39" s="2" t="inlineStr">
        <is>
          <t>Захисний комплект амортизатора</t>
        </is>
      </c>
      <c r="D39" s="2" t="inlineStr">
        <is>
          <t>VKDP33328T</t>
        </is>
      </c>
      <c r="E39" s="2" t="n">
        <v>1</v>
      </c>
      <c r="F39" s="3" t="n">
        <v>921</v>
      </c>
      <c r="G39" s="3">
        <f>E39*F39</f>
        <v/>
      </c>
      <c r="H39" s="2" t="inlineStr">
        <is>
          <t>SKF</t>
        </is>
      </c>
      <c r="I39" s="2" t="inlineStr"/>
      <c r="J39" s="2" t="inlineStr">
        <is>
          <t>4016995200</t>
        </is>
      </c>
    </row>
    <row r="40">
      <c r="A40" s="2" t="n">
        <v>39</v>
      </c>
      <c r="B40" s="2" t="inlineStr">
        <is>
          <t>Сітроен 49-08</t>
        </is>
      </c>
      <c r="C40" s="2" t="inlineStr">
        <is>
          <t>Накінечник керма</t>
        </is>
      </c>
      <c r="D40" s="2" t="inlineStr">
        <is>
          <t>3937801</t>
        </is>
      </c>
      <c r="E40" s="2" t="n">
        <v>1</v>
      </c>
      <c r="F40" s="3" t="n">
        <v>937</v>
      </c>
      <c r="G40" s="3">
        <f>E40*F40</f>
        <v/>
      </c>
      <c r="H40" s="2" t="inlineStr"/>
      <c r="I40" s="2" t="inlineStr"/>
      <c r="J40" s="2" t="inlineStr">
        <is>
          <t>8708949000</t>
        </is>
      </c>
    </row>
    <row r="41">
      <c r="A41" s="2" t="n">
        <v>40</v>
      </c>
      <c r="B41" s="2" t="inlineStr">
        <is>
          <t>Сітроен 49-08</t>
        </is>
      </c>
      <c r="C41" s="2" t="inlineStr">
        <is>
          <t>Накінечник керма</t>
        </is>
      </c>
      <c r="D41" s="2" t="inlineStr">
        <is>
          <t>3937901</t>
        </is>
      </c>
      <c r="E41" s="2" t="n">
        <v>1</v>
      </c>
      <c r="F41" s="3" t="n">
        <v>941</v>
      </c>
      <c r="G41" s="3">
        <f>E41*F41</f>
        <v/>
      </c>
      <c r="H41" s="2" t="inlineStr"/>
      <c r="I41" s="2" t="inlineStr"/>
      <c r="J41" s="2" t="inlineStr">
        <is>
          <t>8708949000</t>
        </is>
      </c>
    </row>
    <row r="42">
      <c r="A42" s="2" t="n">
        <v>41</v>
      </c>
      <c r="B42" s="2" t="inlineStr">
        <is>
          <t>Сітроен 49-08</t>
        </is>
      </c>
      <c r="C42" s="2" t="inlineStr">
        <is>
          <t>Опора двигуна</t>
        </is>
      </c>
      <c r="D42" s="2" t="inlineStr">
        <is>
          <t>9826533880</t>
        </is>
      </c>
      <c r="E42" s="2" t="n">
        <v>1</v>
      </c>
      <c r="F42" s="3" t="n">
        <v>8160</v>
      </c>
      <c r="G42" s="3">
        <f>E42*F42</f>
        <v/>
      </c>
      <c r="H42" s="2" t="inlineStr"/>
      <c r="I42" s="2" t="inlineStr"/>
      <c r="J42" s="2" t="inlineStr">
        <is>
          <t>4016995200</t>
        </is>
      </c>
    </row>
    <row r="43">
      <c r="A43" s="2" t="n">
        <v>42</v>
      </c>
      <c r="B43" s="2" t="inlineStr">
        <is>
          <t>VW 61-92</t>
        </is>
      </c>
      <c r="C43" s="2" t="inlineStr">
        <is>
          <t>Фільтр оливи</t>
        </is>
      </c>
      <c r="D43" s="2" t="inlineStr">
        <is>
          <t>HU7008Z</t>
        </is>
      </c>
      <c r="E43" s="2" t="n">
        <v>1</v>
      </c>
      <c r="F43" s="3" t="n">
        <v>331</v>
      </c>
      <c r="G43" s="3">
        <f>E43*F43</f>
        <v/>
      </c>
      <c r="H43" s="2" t="inlineStr">
        <is>
          <t>MANN</t>
        </is>
      </c>
      <c r="I43" s="2" t="inlineStr"/>
      <c r="J43" s="2" t="inlineStr">
        <is>
          <t>8421230090</t>
        </is>
      </c>
    </row>
    <row r="44">
      <c r="A44" s="2" t="n">
        <v>43</v>
      </c>
      <c r="B44" s="2" t="inlineStr">
        <is>
          <t>VW 61-92</t>
        </is>
      </c>
      <c r="C44" s="2" t="inlineStr">
        <is>
          <t>Фільтр повітря</t>
        </is>
      </c>
      <c r="D44" s="2" t="inlineStr">
        <is>
          <t>LX786</t>
        </is>
      </c>
      <c r="E44" s="2" t="n">
        <v>1</v>
      </c>
      <c r="F44" s="3" t="n">
        <v>564</v>
      </c>
      <c r="G44" s="3">
        <f>E44*F44</f>
        <v/>
      </c>
      <c r="H44" s="2" t="inlineStr">
        <is>
          <t>MAHLE</t>
        </is>
      </c>
      <c r="I44" s="2" t="inlineStr"/>
      <c r="J44" s="2" t="inlineStr">
        <is>
          <t>8421310000</t>
        </is>
      </c>
    </row>
    <row r="45">
      <c r="A45" s="2" t="n">
        <v>44</v>
      </c>
      <c r="B45" s="2" t="inlineStr">
        <is>
          <t>VW 61-92</t>
        </is>
      </c>
      <c r="C45" s="2" t="inlineStr">
        <is>
          <t>Фільтр палива</t>
        </is>
      </c>
      <c r="D45" s="2" t="inlineStr">
        <is>
          <t>3184900</t>
        </is>
      </c>
      <c r="E45" s="2" t="n">
        <v>1</v>
      </c>
      <c r="F45" s="3" t="n">
        <v>1740</v>
      </c>
      <c r="G45" s="3">
        <f>E45*F45</f>
        <v/>
      </c>
      <c r="H45" s="2" t="inlineStr"/>
      <c r="I45" s="2" t="inlineStr"/>
      <c r="J45" s="2" t="inlineStr">
        <is>
          <t>8421230090</t>
        </is>
      </c>
    </row>
    <row r="46">
      <c r="A46" s="2" t="n">
        <v>45</v>
      </c>
      <c r="B46" s="2" t="inlineStr">
        <is>
          <t>VW 61-92</t>
        </is>
      </c>
      <c r="C46" s="2" t="inlineStr">
        <is>
          <t>Фільтр салону</t>
        </is>
      </c>
      <c r="D46" s="2" t="inlineStr">
        <is>
          <t>7E0819631</t>
        </is>
      </c>
      <c r="E46" s="2" t="n">
        <v>1</v>
      </c>
      <c r="F46" s="3" t="n">
        <v>1410</v>
      </c>
      <c r="G46" s="3">
        <f>E46*F46</f>
        <v/>
      </c>
      <c r="H46" s="2" t="inlineStr">
        <is>
          <t>VAG</t>
        </is>
      </c>
      <c r="I46" s="2" t="inlineStr"/>
      <c r="J46" s="2" t="inlineStr">
        <is>
          <t>8421392000</t>
        </is>
      </c>
    </row>
    <row r="47">
      <c r="A47" s="2" t="n">
        <v>46</v>
      </c>
      <c r="B47" s="2" t="inlineStr">
        <is>
          <t>VW 50-18</t>
        </is>
      </c>
      <c r="C47" s="2" t="inlineStr">
        <is>
          <t>Заглушка</t>
        </is>
      </c>
      <c r="D47" s="2" t="inlineStr">
        <is>
          <t>N50813202</t>
        </is>
      </c>
      <c r="E47" s="2" t="n">
        <v>1</v>
      </c>
      <c r="F47" s="3" t="n">
        <v>264</v>
      </c>
      <c r="G47" s="3">
        <f>E47*F47</f>
        <v/>
      </c>
      <c r="H47" s="2" t="inlineStr">
        <is>
          <t>VAG</t>
        </is>
      </c>
      <c r="I47" s="2" t="inlineStr"/>
      <c r="J47" s="2" t="inlineStr">
        <is>
          <t>7318159000</t>
        </is>
      </c>
    </row>
    <row r="48">
      <c r="A48" s="2" t="n">
        <v>47</v>
      </c>
      <c r="B48" s="2" t="inlineStr">
        <is>
          <t>VW 50-18</t>
        </is>
      </c>
      <c r="C48" s="2" t="inlineStr">
        <is>
          <t>Гальмівні колодки</t>
        </is>
      </c>
      <c r="D48" s="2" t="inlineStr">
        <is>
          <t>FVR1642</t>
        </is>
      </c>
      <c r="E48" s="2" t="n">
        <v>1</v>
      </c>
      <c r="F48" s="3" t="n">
        <v>2149</v>
      </c>
      <c r="G48" s="3">
        <f>E48*F48</f>
        <v/>
      </c>
      <c r="H48" s="2" t="inlineStr">
        <is>
          <t>FERODO</t>
        </is>
      </c>
      <c r="I48" s="2" t="inlineStr"/>
      <c r="J48" s="2" t="inlineStr">
        <is>
          <t>8708309100</t>
        </is>
      </c>
    </row>
    <row r="49">
      <c r="A49" s="2" t="n">
        <v>48</v>
      </c>
      <c r="B49" s="2" t="inlineStr">
        <is>
          <t>VW 50-18</t>
        </is>
      </c>
      <c r="C49" s="2" t="inlineStr">
        <is>
          <t>Сайлентблок важеля</t>
        </is>
      </c>
      <c r="D49" s="2" t="inlineStr">
        <is>
          <t>829062910</t>
        </is>
      </c>
      <c r="E49" s="2" t="n">
        <v>2</v>
      </c>
      <c r="F49" s="3" t="n">
        <v>483</v>
      </c>
      <c r="G49" s="3">
        <f>E49*F49</f>
        <v/>
      </c>
      <c r="H49" s="2" t="inlineStr"/>
      <c r="I49" s="2" t="inlineStr"/>
      <c r="J49" s="2" t="inlineStr">
        <is>
          <t>4016995200</t>
        </is>
      </c>
    </row>
    <row r="50">
      <c r="A50" s="2" t="n">
        <v>49</v>
      </c>
      <c r="B50" s="2" t="inlineStr">
        <is>
          <t>VW 50-18</t>
        </is>
      </c>
      <c r="C50" s="2" t="inlineStr">
        <is>
          <t>Сайлентблок важеля</t>
        </is>
      </c>
      <c r="D50" s="2" t="inlineStr">
        <is>
          <t>829063010</t>
        </is>
      </c>
      <c r="E50" s="2" t="n">
        <v>2</v>
      </c>
      <c r="F50" s="3" t="n">
        <v>511</v>
      </c>
      <c r="G50" s="3">
        <f>E50*F50</f>
        <v/>
      </c>
      <c r="H50" s="2" t="inlineStr"/>
      <c r="I50" s="2" t="inlineStr"/>
      <c r="J50" s="2" t="inlineStr">
        <is>
          <t>4016995200</t>
        </is>
      </c>
    </row>
    <row r="51">
      <c r="A51" s="2" t="n">
        <v>50</v>
      </c>
      <c r="B51" s="2" t="inlineStr">
        <is>
          <t>VW 50-18</t>
        </is>
      </c>
      <c r="C51" s="2" t="inlineStr">
        <is>
          <t>Втулка стабілізатора</t>
        </is>
      </c>
      <c r="D51" s="2" t="inlineStr">
        <is>
          <t>42175</t>
        </is>
      </c>
      <c r="E51" s="2" t="n">
        <v>2</v>
      </c>
      <c r="F51" s="3" t="n">
        <v>322</v>
      </c>
      <c r="G51" s="3">
        <f>E51*F51</f>
        <v/>
      </c>
      <c r="H51" s="2" t="inlineStr"/>
      <c r="I51" s="2" t="inlineStr"/>
      <c r="J51" s="2" t="inlineStr">
        <is>
          <t>4016995200</t>
        </is>
      </c>
    </row>
    <row r="52">
      <c r="A52" s="2" t="n">
        <v>51</v>
      </c>
      <c r="B52" s="2" t="inlineStr">
        <is>
          <t>VW 50-18</t>
        </is>
      </c>
      <c r="C52" s="2" t="inlineStr">
        <is>
          <t>Втулка стабілізатора</t>
        </is>
      </c>
      <c r="D52" s="2" t="inlineStr">
        <is>
          <t>7H0511413A</t>
        </is>
      </c>
      <c r="E52" s="2" t="n">
        <v>2</v>
      </c>
      <c r="F52" s="3" t="n">
        <v>780</v>
      </c>
      <c r="G52" s="3">
        <f>E52*F52</f>
        <v/>
      </c>
      <c r="H52" s="2" t="inlineStr">
        <is>
          <t>VAG</t>
        </is>
      </c>
      <c r="I52" s="2" t="inlineStr"/>
      <c r="J52" s="2" t="inlineStr">
        <is>
          <t>4016995200</t>
        </is>
      </c>
    </row>
    <row r="53">
      <c r="A53" s="2" t="n">
        <v>52</v>
      </c>
      <c r="B53" s="2" t="inlineStr">
        <is>
          <t>VW 50-18</t>
        </is>
      </c>
      <c r="C53" s="2" t="inlineStr">
        <is>
          <t>Упор</t>
        </is>
      </c>
      <c r="D53" s="2" t="inlineStr">
        <is>
          <t>55011623301</t>
        </is>
      </c>
      <c r="E53" s="2" t="n">
        <v>2</v>
      </c>
      <c r="F53" s="3" t="n">
        <v>101</v>
      </c>
      <c r="G53" s="3">
        <f>E53*F53</f>
        <v/>
      </c>
      <c r="H53" s="2" t="inlineStr"/>
      <c r="I53" s="2" t="inlineStr"/>
      <c r="J53" s="2" t="inlineStr">
        <is>
          <t>4016995200</t>
        </is>
      </c>
    </row>
    <row r="54">
      <c r="A54" s="2" t="n">
        <v>53</v>
      </c>
      <c r="B54" s="2" t="inlineStr">
        <is>
          <t>VW 50-18</t>
        </is>
      </c>
      <c r="C54" s="2" t="inlineStr">
        <is>
          <t>Підкладка пружини</t>
        </is>
      </c>
      <c r="D54" s="2" t="inlineStr">
        <is>
          <t>7H0511149C</t>
        </is>
      </c>
      <c r="E54" s="2" t="n">
        <v>2</v>
      </c>
      <c r="F54" s="3" t="n">
        <v>2010</v>
      </c>
      <c r="G54" s="3">
        <f>E54*F54</f>
        <v/>
      </c>
      <c r="H54" s="2" t="inlineStr">
        <is>
          <t>VAG</t>
        </is>
      </c>
      <c r="I54" s="2" t="inlineStr"/>
      <c r="J54" s="2" t="inlineStr">
        <is>
          <t>4016995200</t>
        </is>
      </c>
    </row>
    <row r="55">
      <c r="A55" s="2" t="n">
        <v>54</v>
      </c>
      <c r="B55" s="2" t="inlineStr">
        <is>
          <t>VW 50-18</t>
        </is>
      </c>
      <c r="C55" s="2" t="inlineStr">
        <is>
          <t>Підкладка пружини</t>
        </is>
      </c>
      <c r="D55" s="2" t="inlineStr">
        <is>
          <t>7E0511150B</t>
        </is>
      </c>
      <c r="E55" s="2" t="n">
        <v>2</v>
      </c>
      <c r="F55" s="3" t="n">
        <v>684</v>
      </c>
      <c r="G55" s="3">
        <f>E55*F55</f>
        <v/>
      </c>
      <c r="H55" s="2" t="inlineStr">
        <is>
          <t>VAG</t>
        </is>
      </c>
      <c r="I55" s="2" t="inlineStr"/>
      <c r="J55" s="2" t="inlineStr">
        <is>
          <t>4016995200</t>
        </is>
      </c>
    </row>
    <row r="56">
      <c r="A56" s="2" t="n">
        <v>55</v>
      </c>
      <c r="B56" s="2" t="inlineStr">
        <is>
          <t>VW 50-18</t>
        </is>
      </c>
      <c r="C56" s="2" t="inlineStr">
        <is>
          <t>Тяга кермова</t>
        </is>
      </c>
      <c r="D56" s="2" t="inlineStr">
        <is>
          <t>27986</t>
        </is>
      </c>
      <c r="E56" s="2" t="n">
        <v>1</v>
      </c>
      <c r="F56" s="3" t="n">
        <v>3032</v>
      </c>
      <c r="G56" s="3">
        <f>E56*F56</f>
        <v/>
      </c>
      <c r="H56" s="2" t="inlineStr"/>
      <c r="I56" s="2" t="inlineStr"/>
      <c r="J56" s="2" t="inlineStr">
        <is>
          <t>8708949000</t>
        </is>
      </c>
    </row>
    <row r="57">
      <c r="A57" s="2" t="n">
        <v>56</v>
      </c>
      <c r="B57" s="2" t="inlineStr">
        <is>
          <t>VW 50-18</t>
        </is>
      </c>
      <c r="C57" s="2" t="inlineStr">
        <is>
          <t>Тяга кермова</t>
        </is>
      </c>
      <c r="D57" s="2" t="inlineStr">
        <is>
          <t>27987</t>
        </is>
      </c>
      <c r="E57" s="2" t="n">
        <v>1</v>
      </c>
      <c r="F57" s="3" t="n">
        <v>3029</v>
      </c>
      <c r="G57" s="3">
        <f>E57*F57</f>
        <v/>
      </c>
      <c r="H57" s="2" t="inlineStr"/>
      <c r="I57" s="2" t="inlineStr"/>
      <c r="J57" s="2" t="inlineStr">
        <is>
          <t>8708949000</t>
        </is>
      </c>
    </row>
    <row r="58">
      <c r="A58" s="2" t="n">
        <v>57</v>
      </c>
      <c r="B58" s="2" t="inlineStr">
        <is>
          <t>VW 50-18</t>
        </is>
      </c>
      <c r="C58" s="2" t="inlineStr">
        <is>
          <t>Пильник тяги керма</t>
        </is>
      </c>
      <c r="D58" s="2" t="inlineStr">
        <is>
          <t>3361601</t>
        </is>
      </c>
      <c r="E58" s="2" t="n">
        <v>2</v>
      </c>
      <c r="F58" s="3" t="n">
        <v>301</v>
      </c>
      <c r="G58" s="3">
        <f>E58*F58</f>
        <v/>
      </c>
      <c r="H58" s="2" t="inlineStr"/>
      <c r="I58" s="2" t="inlineStr"/>
      <c r="J58" s="2" t="inlineStr">
        <is>
          <t>4016995200</t>
        </is>
      </c>
    </row>
    <row r="59">
      <c r="A59" s="2" t="n">
        <v>58</v>
      </c>
      <c r="B59" s="2" t="inlineStr">
        <is>
          <t>L200 77-60</t>
        </is>
      </c>
      <c r="C59" s="2" t="inlineStr">
        <is>
          <t>Гальмівні колодки</t>
        </is>
      </c>
      <c r="D59" s="2" t="inlineStr">
        <is>
          <t>0986494268</t>
        </is>
      </c>
      <c r="E59" s="2" t="n">
        <v>1</v>
      </c>
      <c r="F59" s="3" t="n">
        <v>1578</v>
      </c>
      <c r="G59" s="3">
        <f>E59*F59</f>
        <v/>
      </c>
      <c r="H59" s="2" t="inlineStr">
        <is>
          <t>BOSCH</t>
        </is>
      </c>
      <c r="I59" s="2" t="inlineStr"/>
      <c r="J59" s="2" t="inlineStr">
        <is>
          <t>8708309100</t>
        </is>
      </c>
    </row>
    <row r="60">
      <c r="A60" s="2" t="n">
        <v>59</v>
      </c>
      <c r="B60" s="2" t="inlineStr">
        <is>
          <t>L200 77-60</t>
        </is>
      </c>
      <c r="C60" s="2" t="inlineStr">
        <is>
          <t>Пильник амортизатора</t>
        </is>
      </c>
      <c r="D60" s="2" t="inlineStr">
        <is>
          <t>MR992325</t>
        </is>
      </c>
      <c r="E60" s="2" t="n">
        <v>2</v>
      </c>
      <c r="F60" s="3" t="n">
        <v>510</v>
      </c>
      <c r="G60" s="3">
        <f>E60*F60</f>
        <v/>
      </c>
      <c r="H60" s="2" t="inlineStr">
        <is>
          <t>MITSUBISHI</t>
        </is>
      </c>
      <c r="I60" s="2" t="inlineStr"/>
      <c r="J60" s="2" t="inlineStr">
        <is>
          <t>4016995200</t>
        </is>
      </c>
    </row>
    <row r="61">
      <c r="A61" s="2" t="n">
        <v>60</v>
      </c>
      <c r="B61" s="2" t="inlineStr">
        <is>
          <t>L200 77-60</t>
        </is>
      </c>
      <c r="C61" s="2" t="inlineStr">
        <is>
          <t>Відбійник амортизатора</t>
        </is>
      </c>
      <c r="D61" s="2" t="inlineStr">
        <is>
          <t>MB303069</t>
        </is>
      </c>
      <c r="E61" s="2" t="n">
        <v>2</v>
      </c>
      <c r="F61" s="3" t="n">
        <v>910</v>
      </c>
      <c r="G61" s="3">
        <f>E61*F61</f>
        <v/>
      </c>
      <c r="H61" s="2" t="inlineStr">
        <is>
          <t>MITSUBISHI</t>
        </is>
      </c>
      <c r="I61" s="2" t="inlineStr"/>
      <c r="J61" s="2" t="inlineStr">
        <is>
          <t>4016995200</t>
        </is>
      </c>
    </row>
    <row r="62">
      <c r="A62" s="2" t="n">
        <v>61</v>
      </c>
      <c r="B62" s="2" t="inlineStr">
        <is>
          <t>L200 77-60</t>
        </is>
      </c>
      <c r="C62" s="2" t="inlineStr">
        <is>
          <t>Втулка ресори</t>
        </is>
      </c>
      <c r="D62" s="2" t="inlineStr">
        <is>
          <t>MB584531</t>
        </is>
      </c>
      <c r="E62" s="2" t="n">
        <v>4</v>
      </c>
      <c r="F62" s="3" t="n">
        <v>144</v>
      </c>
      <c r="G62" s="3">
        <f>E62*F62</f>
        <v/>
      </c>
      <c r="H62" s="2" t="inlineStr">
        <is>
          <t>MITSUBISHI</t>
        </is>
      </c>
      <c r="I62" s="2" t="inlineStr"/>
      <c r="J62" s="2" t="inlineStr">
        <is>
          <t>4016995200</t>
        </is>
      </c>
    </row>
    <row r="63">
      <c r="A63" s="2" t="n">
        <v>62</v>
      </c>
      <c r="B63" s="2" t="inlineStr">
        <is>
          <t>L200 77-60</t>
        </is>
      </c>
      <c r="C63" s="2" t="inlineStr">
        <is>
          <t>Опора амортизатора</t>
        </is>
      </c>
      <c r="D63" s="2" t="inlineStr">
        <is>
          <t>107414</t>
        </is>
      </c>
      <c r="E63" s="2" t="n">
        <v>2</v>
      </c>
      <c r="F63" s="3" t="n">
        <v>1044</v>
      </c>
      <c r="G63" s="3">
        <f>E63*F63</f>
        <v/>
      </c>
      <c r="H63" s="2" t="inlineStr"/>
      <c r="I63" s="2" t="inlineStr"/>
      <c r="J63" s="2" t="inlineStr">
        <is>
          <t>8708809900</t>
        </is>
      </c>
    </row>
    <row r="64">
      <c r="A64" s="2" t="n">
        <v>63</v>
      </c>
      <c r="B64" s="2" t="inlineStr">
        <is>
          <t>L200 77-60</t>
        </is>
      </c>
      <c r="C64" s="2" t="inlineStr">
        <is>
          <t>Опора амортизатора</t>
        </is>
      </c>
      <c r="D64" s="2" t="inlineStr">
        <is>
          <t>KB67323</t>
        </is>
      </c>
      <c r="E64" s="2" t="n">
        <v>2</v>
      </c>
      <c r="F64" s="3" t="n">
        <v>2309</v>
      </c>
      <c r="G64" s="3">
        <f>E64*F64</f>
        <v/>
      </c>
      <c r="H64" s="2" t="inlineStr"/>
      <c r="I64" s="2" t="inlineStr"/>
      <c r="J64" s="2" t="inlineStr">
        <is>
          <t>8708809900</t>
        </is>
      </c>
    </row>
    <row r="65">
      <c r="A65" s="2" t="n">
        <v>64</v>
      </c>
      <c r="B65" s="2" t="inlineStr">
        <is>
          <t>Рено 62-14</t>
        </is>
      </c>
      <c r="C65" s="2" t="inlineStr">
        <is>
          <t>Фільтр оливи</t>
        </is>
      </c>
      <c r="D65" s="2" t="inlineStr">
        <is>
          <t>W6025</t>
        </is>
      </c>
      <c r="E65" s="2" t="n">
        <v>1</v>
      </c>
      <c r="F65" s="3" t="n">
        <v>586</v>
      </c>
      <c r="G65" s="3">
        <f>E65*F65</f>
        <v/>
      </c>
      <c r="H65" s="2" t="inlineStr"/>
      <c r="I65" s="2" t="inlineStr"/>
      <c r="J65" s="2" t="inlineStr">
        <is>
          <t>8421230090</t>
        </is>
      </c>
    </row>
    <row r="66">
      <c r="A66" s="2" t="n">
        <v>65</v>
      </c>
      <c r="B66" s="2" t="inlineStr">
        <is>
          <t>Рено 62-14</t>
        </is>
      </c>
      <c r="C66" s="2" t="inlineStr">
        <is>
          <t>Фільтр повітря</t>
        </is>
      </c>
      <c r="D66" s="2" t="inlineStr">
        <is>
          <t>LX3542</t>
        </is>
      </c>
      <c r="E66" s="2" t="n">
        <v>1</v>
      </c>
      <c r="F66" s="3" t="n">
        <v>567</v>
      </c>
      <c r="G66" s="3">
        <f>E66*F66</f>
        <v/>
      </c>
      <c r="H66" s="2" t="inlineStr">
        <is>
          <t>MAHLE</t>
        </is>
      </c>
      <c r="I66" s="2" t="inlineStr"/>
      <c r="J66" s="2" t="inlineStr">
        <is>
          <t>8421310000</t>
        </is>
      </c>
    </row>
    <row r="67">
      <c r="A67" s="2" t="n">
        <v>66</v>
      </c>
      <c r="B67" s="2" t="inlineStr">
        <is>
          <t>Рено 62-14</t>
        </is>
      </c>
      <c r="C67" s="2" t="inlineStr">
        <is>
          <t>Фільтр салону</t>
        </is>
      </c>
      <c r="D67" s="2" t="inlineStr">
        <is>
          <t>LAK891</t>
        </is>
      </c>
      <c r="E67" s="2" t="n">
        <v>1</v>
      </c>
      <c r="F67" s="3" t="n">
        <v>518</v>
      </c>
      <c r="G67" s="3">
        <f>E67*F67</f>
        <v/>
      </c>
      <c r="H67" s="2" t="inlineStr">
        <is>
          <t>MAHLE</t>
        </is>
      </c>
      <c r="I67" s="2" t="inlineStr"/>
      <c r="J67" s="2" t="inlineStr">
        <is>
          <t>8421392000</t>
        </is>
      </c>
    </row>
    <row r="68">
      <c r="A68" s="2" t="n">
        <v>67</v>
      </c>
      <c r="B68" s="2" t="inlineStr">
        <is>
          <t>L200</t>
        </is>
      </c>
      <c r="C68" s="2" t="inlineStr">
        <is>
          <t>Гальмівний шланг</t>
        </is>
      </c>
      <c r="D68" s="2" t="inlineStr">
        <is>
          <t>13705079</t>
        </is>
      </c>
      <c r="E68" s="2" t="n">
        <v>2</v>
      </c>
      <c r="F68" s="3" t="n">
        <v>256</v>
      </c>
      <c r="G68" s="3">
        <f>E68*F68</f>
        <v/>
      </c>
      <c r="H68" s="2" t="inlineStr"/>
      <c r="I68" s="2" t="inlineStr"/>
      <c r="J68" s="2" t="inlineStr">
        <is>
          <t>4009420000</t>
        </is>
      </c>
    </row>
    <row r="69">
      <c r="A69" s="2" t="n">
        <v>68</v>
      </c>
      <c r="B69" s="2" t="inlineStr">
        <is>
          <t>L200</t>
        </is>
      </c>
      <c r="C69" s="2" t="inlineStr">
        <is>
          <t>Трос паркувального гальма</t>
        </is>
      </c>
      <c r="D69" s="2" t="inlineStr">
        <is>
          <t>1987482515</t>
        </is>
      </c>
      <c r="E69" s="2" t="n">
        <v>1</v>
      </c>
      <c r="F69" s="3" t="n">
        <v>1163</v>
      </c>
      <c r="G69" s="3">
        <f>E69*F69</f>
        <v/>
      </c>
      <c r="H69" s="2" t="inlineStr">
        <is>
          <t>BOSCH</t>
        </is>
      </c>
      <c r="I69" s="2" t="inlineStr"/>
      <c r="J69" s="2" t="inlineStr">
        <is>
          <t>8708309100</t>
        </is>
      </c>
    </row>
    <row r="70">
      <c r="A70" s="2" t="n">
        <v>69</v>
      </c>
      <c r="B70" s="2" t="inlineStr">
        <is>
          <t>L200</t>
        </is>
      </c>
      <c r="C70" s="2" t="inlineStr">
        <is>
          <t>Трос паркувального гальма</t>
        </is>
      </c>
      <c r="D70" s="2" t="inlineStr">
        <is>
          <t>1987482516</t>
        </is>
      </c>
      <c r="E70" s="2" t="n">
        <v>1</v>
      </c>
      <c r="F70" s="3" t="n">
        <v>1109</v>
      </c>
      <c r="G70" s="3">
        <f>E70*F70</f>
        <v/>
      </c>
      <c r="H70" s="2" t="inlineStr">
        <is>
          <t>BOSCH</t>
        </is>
      </c>
      <c r="I70" s="2" t="inlineStr"/>
      <c r="J70" s="2" t="inlineStr">
        <is>
          <t>8708309100</t>
        </is>
      </c>
    </row>
    <row r="71">
      <c r="A71" s="2" t="n">
        <v>70</v>
      </c>
      <c r="B71" s="2" t="inlineStr">
        <is>
          <t>L200</t>
        </is>
      </c>
      <c r="C71" s="2" t="inlineStr">
        <is>
          <t>Ресора задня</t>
        </is>
      </c>
      <c r="D71" s="2" t="inlineStr">
        <is>
          <t>6159211</t>
        </is>
      </c>
      <c r="E71" s="2" t="n">
        <v>2</v>
      </c>
      <c r="F71" s="3" t="n">
        <v>11199</v>
      </c>
      <c r="G71" s="3">
        <f>E71*F71</f>
        <v/>
      </c>
      <c r="H71" s="2" t="inlineStr"/>
      <c r="I71" s="2" t="inlineStr"/>
      <c r="J71" s="2" t="inlineStr">
        <is>
          <t>7320109000</t>
        </is>
      </c>
    </row>
    <row r="72">
      <c r="A72" s="2" t="n">
        <v>71</v>
      </c>
      <c r="B72" s="2" t="inlineStr">
        <is>
          <t>L200</t>
        </is>
      </c>
      <c r="C72" s="2" t="inlineStr">
        <is>
          <t>Амортизатор задній</t>
        </is>
      </c>
      <c r="D72" s="2" t="inlineStr">
        <is>
          <t>553189</t>
        </is>
      </c>
      <c r="E72" s="2" t="n">
        <v>2</v>
      </c>
      <c r="F72" s="3" t="n">
        <v>2610</v>
      </c>
      <c r="G72" s="3">
        <f>E72*F72</f>
        <v/>
      </c>
      <c r="H72" s="2" t="inlineStr"/>
      <c r="I72" s="2" t="inlineStr"/>
      <c r="J72" s="2" t="inlineStr">
        <is>
          <t>8708803500</t>
        </is>
      </c>
    </row>
    <row r="73">
      <c r="A73" s="2" t="n">
        <v>72</v>
      </c>
      <c r="B73" s="2" t="inlineStr">
        <is>
          <t>L200</t>
        </is>
      </c>
      <c r="C73" s="2" t="inlineStr">
        <is>
          <t>Скоба</t>
        </is>
      </c>
      <c r="D73" s="2" t="inlineStr">
        <is>
          <t>4150A333</t>
        </is>
      </c>
      <c r="E73" s="2" t="n">
        <v>2</v>
      </c>
      <c r="F73" s="3" t="n">
        <v>1291</v>
      </c>
      <c r="G73" s="3">
        <f>E73*F73</f>
        <v/>
      </c>
      <c r="H73" s="2" t="inlineStr">
        <is>
          <t>MITSUBISHI</t>
        </is>
      </c>
      <c r="I73" s="2" t="inlineStr"/>
      <c r="J73" s="2" t="inlineStr">
        <is>
          <t>7318158890</t>
        </is>
      </c>
    </row>
    <row r="74">
      <c r="A74" s="2" t="n">
        <v>73</v>
      </c>
      <c r="B74" s="2" t="inlineStr">
        <is>
          <t>L200 70-91</t>
        </is>
      </c>
      <c r="C74" s="2" t="inlineStr">
        <is>
          <t>Циліндр зчеплення</t>
        </is>
      </c>
      <c r="D74" s="2" t="inlineStr">
        <is>
          <t>CMM8005</t>
        </is>
      </c>
      <c r="E74" s="2" t="n">
        <v>1</v>
      </c>
      <c r="F74" s="3" t="n">
        <v>2328</v>
      </c>
      <c r="G74" s="3">
        <f>E74*F74</f>
        <v/>
      </c>
      <c r="H74" s="2" t="inlineStr"/>
      <c r="I74" s="2" t="inlineStr"/>
      <c r="J74" s="2" t="inlineStr">
        <is>
          <t>8708939000</t>
        </is>
      </c>
    </row>
    <row r="75">
      <c r="A75" s="2" t="n">
        <v>74</v>
      </c>
      <c r="B75" s="2" t="inlineStr">
        <is>
          <t>L200 70-91</t>
        </is>
      </c>
      <c r="C75" s="2" t="inlineStr">
        <is>
          <t>Диск гальмівний</t>
        </is>
      </c>
      <c r="D75" s="2" t="inlineStr">
        <is>
          <t>0986479363</t>
        </is>
      </c>
      <c r="E75" s="2" t="n">
        <v>2</v>
      </c>
      <c r="F75" s="3" t="n">
        <v>2053</v>
      </c>
      <c r="G75" s="3">
        <f>E75*F75</f>
        <v/>
      </c>
      <c r="H75" s="2" t="inlineStr">
        <is>
          <t>BOSCH</t>
        </is>
      </c>
      <c r="I75" s="2" t="inlineStr"/>
      <c r="J75" s="2" t="inlineStr">
        <is>
          <t>8708309100</t>
        </is>
      </c>
    </row>
    <row r="76">
      <c r="A76" s="2" t="n">
        <v>75</v>
      </c>
      <c r="B76" s="2" t="inlineStr">
        <is>
          <t>L200 70-91</t>
        </is>
      </c>
      <c r="C76" s="2" t="inlineStr">
        <is>
          <t>Гальмівні колодки</t>
        </is>
      </c>
      <c r="D76" s="2" t="inlineStr">
        <is>
          <t>0986494268</t>
        </is>
      </c>
      <c r="E76" s="2" t="n">
        <v>1</v>
      </c>
      <c r="F76" s="3" t="n">
        <v>1578</v>
      </c>
      <c r="G76" s="3">
        <f>E76*F76</f>
        <v/>
      </c>
      <c r="H76" s="2" t="inlineStr">
        <is>
          <t>BOSCH</t>
        </is>
      </c>
      <c r="I76" s="2" t="inlineStr"/>
      <c r="J76" s="2" t="inlineStr">
        <is>
          <t>8708309100</t>
        </is>
      </c>
    </row>
    <row r="77">
      <c r="A77" s="2" t="n">
        <v>76</v>
      </c>
      <c r="B77" s="2" t="inlineStr">
        <is>
          <t>L200 70-91</t>
        </is>
      </c>
      <c r="C77" s="2" t="inlineStr">
        <is>
          <t>Ремкомплект супорта</t>
        </is>
      </c>
      <c r="D77" s="2" t="inlineStr">
        <is>
          <t>13275003</t>
        </is>
      </c>
      <c r="E77" s="2" t="n">
        <v>2</v>
      </c>
      <c r="F77" s="3" t="n">
        <v>450</v>
      </c>
      <c r="G77" s="3">
        <f>E77*F77</f>
        <v/>
      </c>
      <c r="H77" s="2" t="inlineStr"/>
      <c r="I77" s="2" t="inlineStr"/>
      <c r="J77" s="2" t="inlineStr">
        <is>
          <t>8708309100</t>
        </is>
      </c>
    </row>
    <row r="78">
      <c r="A78" s="2" t="n">
        <v>77</v>
      </c>
      <c r="B78" s="2" t="inlineStr">
        <is>
          <t>L200 46-32</t>
        </is>
      </c>
      <c r="C78" s="2" t="inlineStr">
        <is>
          <t>Комплект зчеплення</t>
        </is>
      </c>
      <c r="D78" s="2" t="inlineStr">
        <is>
          <t>625310600</t>
        </is>
      </c>
      <c r="E78" s="2" t="n">
        <v>1</v>
      </c>
      <c r="F78" s="3" t="n">
        <v>11993</v>
      </c>
      <c r="G78" s="3">
        <f>E78*F78</f>
        <v/>
      </c>
      <c r="H78" s="2" t="inlineStr">
        <is>
          <t>LUK</t>
        </is>
      </c>
      <c r="I78" s="2" t="inlineStr"/>
      <c r="J78" s="2" t="inlineStr">
        <is>
          <t>8708939000</t>
        </is>
      </c>
    </row>
    <row r="79">
      <c r="A79" s="2" t="n">
        <v>78</v>
      </c>
      <c r="B79" s="2" t="inlineStr">
        <is>
          <t>L200 46-32</t>
        </is>
      </c>
      <c r="C79" s="2" t="inlineStr">
        <is>
          <t>Сальник колінвалу</t>
        </is>
      </c>
      <c r="D79" s="2" t="inlineStr">
        <is>
          <t>940640</t>
        </is>
      </c>
      <c r="E79" s="2" t="n">
        <v>1</v>
      </c>
      <c r="F79" s="3" t="n">
        <v>632</v>
      </c>
      <c r="G79" s="3">
        <f>E79*F79</f>
        <v/>
      </c>
      <c r="H79" s="2" t="inlineStr"/>
      <c r="I79" s="2" t="inlineStr"/>
      <c r="J79" s="2" t="inlineStr">
        <is>
          <t>4016930000</t>
        </is>
      </c>
    </row>
    <row r="80">
      <c r="A80" s="2" t="n">
        <v>79</v>
      </c>
      <c r="B80" s="2" t="inlineStr">
        <is>
          <t>VW 46-14</t>
        </is>
      </c>
      <c r="C80" s="2" t="inlineStr">
        <is>
          <t>Кульова опора</t>
        </is>
      </c>
      <c r="D80" s="2" t="inlineStr">
        <is>
          <t>33697</t>
        </is>
      </c>
      <c r="E80" s="2" t="n">
        <v>2</v>
      </c>
      <c r="F80" s="3" t="n">
        <v>1229</v>
      </c>
      <c r="G80" s="3">
        <f>E80*F80</f>
        <v/>
      </c>
      <c r="H80" s="2" t="inlineStr"/>
      <c r="I80" s="2" t="inlineStr"/>
      <c r="J80" s="2" t="inlineStr">
        <is>
          <t>8708809900</t>
        </is>
      </c>
    </row>
    <row r="81">
      <c r="A81" s="2" t="n">
        <v>80</v>
      </c>
      <c r="B81" s="2" t="inlineStr">
        <is>
          <t>VW 46-14</t>
        </is>
      </c>
      <c r="C81" s="2" t="inlineStr">
        <is>
          <t>Пильник тяги керма</t>
        </is>
      </c>
      <c r="D81" s="2" t="inlineStr">
        <is>
          <t>33925</t>
        </is>
      </c>
      <c r="E81" s="2" t="n">
        <v>2</v>
      </c>
      <c r="F81" s="3" t="n">
        <v>540</v>
      </c>
      <c r="G81" s="3">
        <f>E81*F81</f>
        <v/>
      </c>
      <c r="H81" s="2" t="inlineStr"/>
      <c r="I81" s="2" t="inlineStr"/>
      <c r="J81" s="2" t="inlineStr">
        <is>
          <t>4016995200</t>
        </is>
      </c>
    </row>
    <row r="82">
      <c r="A82" s="2" t="inlineStr"/>
      <c r="B82" s="2" t="inlineStr"/>
      <c r="C82" s="4" t="inlineStr">
        <is>
          <t>Всього</t>
        </is>
      </c>
      <c r="D82" s="2" t="inlineStr"/>
      <c r="E82" s="2" t="inlineStr"/>
      <c r="F82" s="3" t="inlineStr"/>
      <c r="G82" s="5">
        <f>SUM(G2:G81)</f>
        <v/>
      </c>
      <c r="H82" s="2" t="n"/>
      <c r="I82" s="2" t="n"/>
      <c r="J8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2026-10-08T04:46:41Z</dcterms:created>
  <dcterms:modified xmlns:dcterms="http://purl.org/dc/terms/" xmlns:xsi="http://www.w3.org/2001/XMLSchema-instance" xsi:type="dcterms:W3CDTF">2026-10-08T04:46:41Z</dcterms:modified>
</cp:coreProperties>
</file>